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48323f313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43a616105d4085"/>
    <x:sheet xmlns:r="http://schemas.openxmlformats.org/officeDocument/2006/relationships" name="Assumptions" sheetId="2" r:id="R4845c2c9d30b4401"/>
    <x:sheet xmlns:r="http://schemas.openxmlformats.org/officeDocument/2006/relationships" name="Operating Model" sheetId="3" r:id="R3f40e90e04b84512"/>
    <x:sheet xmlns:r="http://schemas.openxmlformats.org/officeDocument/2006/relationships" name="Valuation" sheetId="4" r:id="Rd5f0bd1309a44657"/>
    <x:sheet xmlns:r="http://schemas.openxmlformats.org/officeDocument/2006/relationships" name="Sensitivity" sheetId="5" r:id="R1597d7ba74554e35"/>
    <x:sheet xmlns:r="http://schemas.openxmlformats.org/officeDocument/2006/relationships" name="README" sheetId="6" r:id="R819380dc7fd6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0.0x"/>
    <x:numFmt numFmtId="203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a8c4b86cc4cb9" /><Relationship Type="http://schemas.openxmlformats.org/officeDocument/2006/relationships/theme" Target="/xl/theme/theme1.xml" Id="Rd83ec4ee129d4570" /><Relationship Type="http://schemas.openxmlformats.org/officeDocument/2006/relationships/sharedStrings" Target="/xl/sharedStrings.xml" Id="Rdc84fcbde3d14550" /><Relationship Type="http://schemas.openxmlformats.org/officeDocument/2006/relationships/worksheet" Target="/xl/worksheets/sheet1.xml" Id="R9543a616105d4085" /><Relationship Type="http://schemas.openxmlformats.org/officeDocument/2006/relationships/worksheet" Target="/xl/worksheets/sheet2.xml" Id="R4845c2c9d30b4401" /><Relationship Type="http://schemas.openxmlformats.org/officeDocument/2006/relationships/worksheet" Target="/xl/worksheets/sheet3.xml" Id="R3f40e90e04b84512" /><Relationship Type="http://schemas.openxmlformats.org/officeDocument/2006/relationships/worksheet" Target="/xl/worksheets/sheet4.xml" Id="Rd5f0bd1309a44657" /><Relationship Type="http://schemas.openxmlformats.org/officeDocument/2006/relationships/worksheet" Target="/xl/worksheets/sheet5.xml" Id="R1597d7ba74554e35" /><Relationship Type="http://schemas.openxmlformats.org/officeDocument/2006/relationships/worksheet" Target="/xl/worksheets/sheet6.xml" Id="R819380dc7fd642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" hidden="0" customWidth="1"/>
    <x:col min="4" max="4" width="25" hidden="0" customWidth="1"/>
    <x:col min="5" max="5" width="15" hidden="0" customWidth="1"/>
    <x:col min="6" max="6" width="38" hidden="0" customWidth="1"/>
    <x:col min="7" max="7" width="12" hidden="0" customWidth="1"/>
    <x:col min="8" max="8" width="12" hidden="0" customWidth="1"/>
  </x:cols>
  <x:sheetData>
    <x:row r="1">
      <x:c r="A1" s="6" t="str">
        <x:v>Investment Banking Summary - BPRE Real Estate Valuation Model</x:v>
      </x:c>
      <x:c r="B1" s="6" t="str"/>
      <x:c r="C1" s="6" t="str"/>
      <x:c r="D1" s="6" t="str"/>
      <x:c r="E1" s="6" t="str"/>
      <x:c r="F1" s="6" t="str"/>
      <x:c r="G1" s="6" t="str"/>
      <x:c r="H1" s="6" t="str"/>
    </x:row>
    <x:row r="3">
      <x:c r="A3" s="6" t="str">
        <x:v>Company / Sector Overview</x:v>
      </x:c>
      <x:c r="B3" s="6" t="str"/>
      <x:c r="D3" s="6" t="str">
        <x:v>Key Metrics</x:v>
      </x:c>
      <x:c r="E3" s="6" t="str">
        <x:v>Value</x:v>
      </x:c>
      <x:c r="F3" s="6" t="str">
        <x:v>Comment</x:v>
      </x:c>
    </x:row>
    <x:row r="4">
      <x:c r="A4" t="str">
        <x:v>Target Company</x:v>
      </x:c>
      <x:c r="B4" s="14" t="str">
        <x:f>'Assumptions'!B4</x:f>
        <x:v>Illustrative BPRE TargetCo plc</x:v>
      </x:c>
      <x:c r="C4" s="14"/>
      <x:c r="D4" s="14" t="str">
        <x:v>2025A Revenue</x:v>
      </x:c>
      <x:c r="E4" s="26" t="n">
        <x:f>ROUND('Operating Model'!B5,1)</x:f>
        <x:v>650</x:v>
      </x:c>
      <x:c r="F4" t="str">
        <x:v>Revenue / rental income</x:v>
      </x:c>
    </x:row>
    <x:row r="5">
      <x:c r="A5" t="str">
        <x:v>Sector</x:v>
      </x:c>
      <x:c r="B5" s="14" t="str">
        <x:v>Building, Property &amp; Real Estate</x:v>
      </x:c>
      <x:c r="C5" s="14"/>
      <x:c r="D5" s="14" t="str">
        <x:v>2025A EBITDA</x:v>
      </x:c>
      <x:c r="E5" s="26" t="n">
        <x:f>ROUND('Operating Model'!B8,1)</x:f>
        <x:v>143</x:v>
      </x:c>
      <x:c r="F5" t="str">
        <x:v>Revenue x EBITDA margin</x:v>
      </x:c>
    </x:row>
    <x:row r="6">
      <x:c r="A6" t="str">
        <x:v>Model Purpose</x:v>
      </x:c>
      <x:c r="B6" s="14" t="str">
        <x:v>Illustrative corporate finance valuation for a BPRE-style target</x:v>
      </x:c>
      <x:c r="C6" s="14"/>
      <x:c r="D6" s="14" t="str">
        <x:v>2025A EBITDA Margin</x:v>
      </x:c>
      <x:c r="E6" s="28" t="n">
        <x:f>ROUND('Operating Model'!B7,3)</x:f>
        <x:v>0.22</x:v>
      </x:c>
      <x:c r="F6" t="str">
        <x:v>Starting profitability</x:v>
      </x:c>
    </x:row>
    <x:row r="7">
      <x:c r="A7" t="str">
        <x:v>Currency</x:v>
      </x:c>
      <x:c r="B7" s="14" t="str">
        <x:v>GBP mm</x:v>
      </x:c>
      <x:c r="C7" s="14"/>
      <x:c r="D7" s="14" t="str">
        <x:v>Net Debt</x:v>
      </x:c>
      <x:c r="E7" s="26" t="n">
        <x:f>ROUND('Assumptions'!B6,1)</x:f>
        <x:v>450</x:v>
      </x:c>
      <x:c r="F7" t="str">
        <x:v>Debt less cash</x:v>
      </x:c>
    </x:row>
    <x:row r="8">
      <x:c r="A8" t="str">
        <x:v>Key Methods</x:v>
      </x:c>
      <x:c r="B8" s="14" t="str">
        <x:v>DCF, Trading Comps, NAV / Cap-Rate, Sensitivity Analysis</x:v>
      </x:c>
      <x:c r="C8" s="14"/>
      <x:c r="D8" s="14" t="str">
        <x:v>Diluted Shares</x:v>
      </x:c>
      <x:c r="E8" s="26" t="n">
        <x:f>ROUND('Assumptions'!B7,1)</x:f>
        <x:v>110</x:v>
      </x:c>
      <x:c r="F8" t="str">
        <x:v>Shares outstanding</x:v>
      </x:c>
    </x:row>
    <x:row r="9">
      <x:c r="A9" t="str">
        <x:v>Use Case</x:v>
      </x:c>
      <x:c r="B9" s="14" t="str">
        <x:v>Pitchbook-style valuation support, equity story positioning and M&amp;A / ECM discussion.</x:v>
      </x:c>
      <x:c r="C9" s="14"/>
      <x:c r="D9" s="14"/>
    </x:row>
    <x:row r="10">
      <x:c r="A10" t="str">
        <x:v>Data Status</x:v>
      </x:c>
      <x:c r="B10" s="14" t="str">
        <x:v>Illustrative placeholder data; replace with live market data before use.</x:v>
      </x:c>
      <x:c r="C10" s="14"/>
      <x:c r="D10" s="14"/>
    </x:row>
    <x:row r="11">
      <x:c r="B11" s="14"/>
      <x:c r="C11" s="14"/>
      <x:c r="D11" s="14"/>
    </x:row>
    <x:row r="12">
      <x:c r="B12" s="14"/>
      <x:c r="C12" s="14"/>
      <x:c r="D12" s="14"/>
    </x:row>
    <x:row r="13">
      <x:c r="A13" s="6" t="str">
        <x:v>Valuation Range Summary (GBP / share)</x:v>
      </x:c>
      <x:c r="B13" s="16" t="str">
        <x:v>Low</x:v>
      </x:c>
      <x:c r="C13" s="16" t="str">
        <x:v>Mid</x:v>
      </x:c>
      <x:c r="D13" s="16" t="str">
        <x:v>High</x:v>
      </x:c>
    </x:row>
    <x:row r="14">
      <x:c r="A14" t="str">
        <x:v>DCF</x:v>
      </x:c>
      <x:c r="B14" s="32" t="n">
        <x:f>ROUND('Valuation'!B14*0.9,2)</x:f>
        <x:v>7.75</x:v>
      </x:c>
      <x:c r="C14" s="32" t="n">
        <x:f>ROUND('Valuation'!B14,2)</x:f>
        <x:v>8.61</x:v>
      </x:c>
      <x:c r="D14" s="32" t="n">
        <x:f>ROUND('Valuation'!B14*1.1,2)</x:f>
        <x:v>9.47</x:v>
      </x:c>
    </x:row>
    <x:row r="15">
      <x:c r="A15" t="str">
        <x:v>Trading Comps</x:v>
      </x:c>
      <x:c r="B15" s="32" t="n">
        <x:f>ROUND('Valuation'!B37,2)</x:f>
        <x:v>5.68</x:v>
      </x:c>
      <x:c r="C15" s="32" t="n">
        <x:f>ROUND('Valuation'!C37,2)</x:f>
        <x:v>7.78</x:v>
      </x:c>
      <x:c r="D15" s="32" t="n">
        <x:f>ROUND('Valuation'!D37,2)</x:f>
        <x:v>9.87</x:v>
      </x:c>
    </x:row>
    <x:row r="16">
      <x:c r="A16" t="str">
        <x:v>NAV / Cap Rate</x:v>
      </x:c>
      <x:c r="B16" s="32" t="n">
        <x:f>ROUND('Valuation'!B46,2)</x:f>
        <x:v>9.2</x:v>
      </x:c>
      <x:c r="C16" s="32" t="n">
        <x:f>ROUND('Valuation'!C46,2)</x:f>
        <x:v>10.3</x:v>
      </x:c>
      <x:c r="D16" s="32" t="n">
        <x:f>ROUND('Valuation'!D46,2)</x:f>
        <x:v>11.61</x:v>
      </x:c>
    </x:row>
    <x:row r="17">
      <x:c r="A17" t="str">
        <x:v>Blended Range</x:v>
      </x:c>
      <x:c r="B17" s="32" t="n">
        <x:f>ROUND(MIN(B14:B16),2)</x:f>
        <x:v>5.68</x:v>
      </x:c>
      <x:c r="C17" s="32" t="n">
        <x:f>ROUND(MEDIAN(C14:C16),2)</x:f>
        <x:v>8.61</x:v>
      </x:c>
      <x:c r="D17" s="32" t="n">
        <x:f>ROUND(MAX(D14:D16),2)</x:f>
        <x:v>11.61</x:v>
      </x:c>
    </x:row>
    <x:row r="20">
      <x:c r="A20" s="6" t="str">
        <x:v>CV / Portfolio Wording</x:v>
      </x:c>
      <x:c r="B20" s="6" t="str"/>
    </x:row>
    <x:row r="21">
      <x:c r="A21" t="str">
        <x:v>CV Bullet</x:v>
      </x:c>
      <x:c r="B21" t="str">
        <x:v>Built real estate sector valuation model using a DCF, trading comparables, NAV / cap-rate methodology and sensitivity analysis to assess implied equity value, leverage and equity story positioning for a UK BPRE-style target.</x:v>
      </x:c>
    </x:row>
    <x:row r="22">
      <x:c r="A22" t="str">
        <x:v>GitHub Repo Name</x:v>
      </x:c>
      <x:c r="B22" t="str">
        <x:v>real-estate-valuation-model-bpre</x:v>
      </x:c>
    </x:row>
    <x:row r="23">
      <x:c r="A23" t="str">
        <x:v>Upload Files</x:v>
      </x:c>
      <x:c r="B23" t="str">
        <x:v>Real_Estate_Valuation_Model_BPRE.xlsx, README.md, screenshots/summary.png, screenshots/sensitivity.png</x:v>
      </x:c>
    </x:row>
    <x:row r="24">
      <x:c r="A24" t="str">
        <x:v>Important Disclosure</x:v>
      </x:c>
      <x:c r="B24" t="str">
        <x:v>Illustrative model for portfolio purposes; not investment advice.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55" hidden="0" customWidth="1"/>
    <x:col min="4" max="4" width="20" hidden="0" customWidth="1"/>
    <x:col min="5" max="5" width="15" hidden="0" customWidth="1"/>
    <x:col min="6" max="6" width="15" hidden="0" customWidth="1"/>
  </x:cols>
  <x:sheetData>
    <x:row r="1">
      <x:c r="A1" s="6" t="str">
        <x:v>BPRE Real Estate Valuation Model - Assumptions</x:v>
      </x:c>
      <x:c r="B1" s="6" t="str"/>
      <x:c r="C1" s="6" t="str"/>
    </x:row>
    <x:row r="3">
      <x:c r="A3" s="6" t="str">
        <x:v>Core Model Inputs</x:v>
      </x:c>
      <x:c r="B3" s="6" t="str">
        <x:v>Input</x:v>
      </x:c>
      <x:c r="C3" s="6" t="str">
        <x:v>Source / Note</x:v>
      </x:c>
    </x:row>
    <x:row r="4">
      <x:c r="A4" t="str">
        <x:v>Target Company</x:v>
      </x:c>
      <x:c r="B4" t="str">
        <x:v>Illustrative BPRE TargetCo plc</x:v>
      </x:c>
      <x:c r="C4" t="str">
        <x:v>Illustrative placeholder; replace with target name.</x:v>
      </x:c>
    </x:row>
    <x:row r="5">
      <x:c r="A5" t="str">
        <x:v>Units</x:v>
      </x:c>
      <x:c r="B5" t="str">
        <x:v>GBP mm except per-share data</x:v>
      </x:c>
      <x:c r="C5" t="str">
        <x:v>Formatting convention.</x:v>
      </x:c>
    </x:row>
    <x:row r="6">
      <x:c r="A6" t="str">
        <x:v>Net Debt</x:v>
      </x:c>
      <x:c r="B6" s="18" t="n">
        <x:v>450</x:v>
      </x:c>
      <x:c r="C6" t="str">
        <x:v>Illustrative placeholder; replace with latest balance sheet net debt.</x:v>
      </x:c>
    </x:row>
    <x:row r="7">
      <x:c r="A7" t="str">
        <x:v>Diluted Shares Outstanding (mm)</x:v>
      </x:c>
      <x:c r="B7" s="18" t="n">
        <x:v>110</x:v>
      </x:c>
      <x:c r="C7" t="str">
        <x:v>Illustrative placeholder; replace with latest diluted shares.</x:v>
      </x:c>
    </x:row>
    <x:row r="8">
      <x:c r="A8" t="str">
        <x:v>2025A Revenue / Rental Income</x:v>
      </x:c>
      <x:c r="B8" s="18" t="n">
        <x:v>650</x:v>
      </x:c>
      <x:c r="C8" t="str">
        <x:v>Illustrative placeholder based on sample BPRE company scale.</x:v>
      </x:c>
    </x:row>
    <x:row r="9">
      <x:c r="A9" t="str">
        <x:v>2025A EBITDA Margin</x:v>
      </x:c>
      <x:c r="B9" s="20" t="n">
        <x:v>0.22</x:v>
      </x:c>
      <x:c r="C9" t="str">
        <x:v>Illustrative placeholder; update from company filings or broker research.</x:v>
      </x:c>
    </x:row>
    <x:row r="10">
      <x:c r="A10" t="str">
        <x:v>D&amp;A (% Revenue)</x:v>
      </x:c>
      <x:c r="B10" s="20" t="n">
        <x:v>0.04</x:v>
      </x:c>
      <x:c r="C10" t="str">
        <x:v>Illustrative placeholder.</x:v>
      </x:c>
    </x:row>
    <x:row r="11">
      <x:c r="A11" t="str">
        <x:v>Tax Rate</x:v>
      </x:c>
      <x:c r="B11" s="20" t="n">
        <x:v>0.25</x:v>
      </x:c>
      <x:c r="C11" t="str">
        <x:v>Illustrative UK corporation tax assumption.</x:v>
      </x:c>
    </x:row>
    <x:row r="12">
      <x:c r="A12" t="str">
        <x:v>Capex (% Revenue)</x:v>
      </x:c>
      <x:c r="B12" s="20" t="n">
        <x:v>0.06</x:v>
      </x:c>
      <x:c r="C12" t="str">
        <x:v>Illustrative placeholder.</x:v>
      </x:c>
    </x:row>
    <x:row r="13">
      <x:c r="A13" t="str">
        <x:v>Net Working Capital (% Revenue)</x:v>
      </x:c>
      <x:c r="B13" s="20" t="n">
        <x:v>0.02</x:v>
      </x:c>
      <x:c r="C13" t="str">
        <x:v>Illustrative placeholder.</x:v>
      </x:c>
    </x:row>
    <x:row r="14">
      <x:c r="A14" t="str">
        <x:v>WACC</x:v>
      </x:c>
      <x:c r="B14" s="20" t="n">
        <x:v>0.09</x:v>
      </x:c>
      <x:c r="C14" t="str">
        <x:v>Illustrative placeholder.</x:v>
      </x:c>
    </x:row>
    <x:row r="15">
      <x:c r="A15" t="str">
        <x:v>Terminal Growth</x:v>
      </x:c>
      <x:c r="B15" s="20" t="n">
        <x:v>0.02</x:v>
      </x:c>
      <x:c r="C15" t="str">
        <x:v>Illustrative placeholder.</x:v>
      </x:c>
    </x:row>
    <x:row r="16">
      <x:c r="A16" t="str">
        <x:v>Exit EV/EBITDA Multiple</x:v>
      </x:c>
      <x:c r="B16" s="22" t="n">
        <x:v>10</x:v>
      </x:c>
      <x:c r="C16" t="str">
        <x:v>Illustrative placeholder.</x:v>
      </x:c>
    </x:row>
    <x:row r="17">
      <x:c r="A17" t="str">
        <x:v>2025A Net Operating Income (NOI)</x:v>
      </x:c>
      <x:c r="B17" s="18" t="n">
        <x:v>95</x:v>
      </x:c>
      <x:c r="C17" t="str">
        <x:v>Illustrative placeholder for NAV / cap-rate valuation.</x:v>
      </x:c>
    </x:row>
    <x:row r="18">
      <x:c r="A18" t="str">
        <x:v>Base Cap Rate</x:v>
      </x:c>
      <x:c r="B18" s="18" t="n">
        <x:v>0.06</x:v>
      </x:c>
      <x:c r="C18" t="str">
        <x:v>Illustrative placeholder; replace with market-implied cap rate.</x:v>
      </x:c>
    </x:row>
    <x:row r="21">
      <x:c r="A21" s="6" t="str">
        <x:v>Forecast Assumptions</x:v>
      </x:c>
      <x:c r="B21" s="6" t="str"/>
      <x:c r="C21" s="6" t="str"/>
      <x:c r="D21" s="6" t="str"/>
      <x:c r="E21" s="6" t="str"/>
      <x:c r="F21" s="6" t="str"/>
    </x:row>
    <x:row r="22">
      <x:c r="A22" t="str">
        <x:v>Year</x:v>
      </x:c>
      <x:c r="B22" t="str">
        <x:v>2026E</x:v>
      </x:c>
      <x:c r="C22" t="str">
        <x:v>2027E</x:v>
      </x:c>
      <x:c r="D22" t="str">
        <x:v>2028E</x:v>
      </x:c>
      <x:c r="E22" t="str">
        <x:v>2029E</x:v>
      </x:c>
      <x:c r="F22" t="str">
        <x:v>2030E</x:v>
      </x:c>
    </x:row>
    <x:row r="23">
      <x:c r="A23" t="str">
        <x:v>Revenue Growth</x:v>
      </x:c>
      <x:c r="B23" s="20" t="n">
        <x:v>0.05</x:v>
      </x:c>
      <x:c r="C23" s="20" t="n">
        <x:v>0.045</x:v>
      </x:c>
      <x:c r="D23" s="20" t="n">
        <x:v>0.04</x:v>
      </x:c>
      <x:c r="E23" s="20" t="n">
        <x:v>0.035</x:v>
      </x:c>
      <x:c r="F23" s="20" t="n">
        <x:v>0.03</x:v>
      </x:c>
    </x:row>
    <x:row r="24">
      <x:c r="A24" t="str">
        <x:v>EBITDA Margin</x:v>
      </x:c>
      <x:c r="B24" s="20" t="n">
        <x:v>0.225</x:v>
      </x:c>
      <x:c r="C24" s="20" t="n">
        <x:v>0.23</x:v>
      </x:c>
      <x:c r="D24" s="20" t="n">
        <x:v>0.235</x:v>
      </x:c>
      <x:c r="E24" s="20" t="n">
        <x:v>0.24</x:v>
      </x:c>
      <x:c r="F24" s="20" t="n">
        <x:v>0.245</x:v>
      </x:c>
    </x:row>
    <x:row r="25">
      <x:c r="A25" t="str">
        <x:v>D&amp;A (% Revenue)</x:v>
      </x:c>
      <x:c r="B25" s="20" t="n">
        <x:v>0.04</x:v>
      </x:c>
      <x:c r="C25" s="20" t="n">
        <x:v>0.04</x:v>
      </x:c>
      <x:c r="D25" s="20" t="n">
        <x:v>0.04</x:v>
      </x:c>
      <x:c r="E25" s="20" t="n">
        <x:v>0.04</x:v>
      </x:c>
      <x:c r="F25" s="20" t="n">
        <x:v>0.04</x:v>
      </x:c>
    </x:row>
    <x:row r="26">
      <x:c r="A26" t="str">
        <x:v>Capex (% Revenue)</x:v>
      </x:c>
      <x:c r="B26" s="20" t="n">
        <x:v>0.06</x:v>
      </x:c>
      <x:c r="C26" s="20" t="n">
        <x:v>0.058</x:v>
      </x:c>
      <x:c r="D26" s="20" t="n">
        <x:v>0.056</x:v>
      </x:c>
      <x:c r="E26" s="20" t="n">
        <x:v>0.055</x:v>
      </x:c>
      <x:c r="F26" s="20" t="n">
        <x:v>0.055</x:v>
      </x:c>
    </x:row>
    <x:row r="27">
      <x:c r="A27" t="str">
        <x:v>NWC (% Revenue)</x:v>
      </x:c>
      <x:c r="B27" s="20" t="n">
        <x:v>0.02</x:v>
      </x:c>
      <x:c r="C27" s="20" t="n">
        <x:v>0.02</x:v>
      </x:c>
      <x:c r="D27" s="20" t="n">
        <x:v>0.02</x:v>
      </x:c>
      <x:c r="E27" s="20" t="n">
        <x:v>0.02</x:v>
      </x:c>
      <x:c r="F27" s="20" t="n">
        <x:v>0.02</x:v>
      </x:c>
    </x:row>
    <x:row r="30">
      <x:c r="A30" s="6" t="str">
        <x:v>Illustrative Trading Comps Inputs</x:v>
      </x:c>
      <x:c r="B30" s="6" t="str"/>
      <x:c r="C30" s="6" t="str"/>
      <x:c r="D30" s="6" t="str"/>
    </x:row>
    <x:row r="31">
      <x:c r="A31" t="str">
        <x:v>Peer Company</x:v>
      </x:c>
      <x:c r="B31" t="str">
        <x:v>Sector</x:v>
      </x:c>
      <x:c r="C31" t="str">
        <x:v>EV/EBITDA</x:v>
      </x:c>
      <x:c r="D31" t="str">
        <x:v>Source / Note</x:v>
      </x:c>
    </x:row>
    <x:row r="32">
      <x:c r="A32" t="str">
        <x:v>British Land</x:v>
      </x:c>
      <x:c r="B32" t="str">
        <x:v>Real Estate</x:v>
      </x:c>
      <x:c r="C32" s="24" t="n">
        <x:v>8</x:v>
      </x:c>
      <x:c r="D32" t="str">
        <x:v>Illustrative placeholder; replace with latest market data.</x:v>
      </x:c>
    </x:row>
    <x:row r="33">
      <x:c r="A33" t="str">
        <x:v>Landsec</x:v>
      </x:c>
      <x:c r="B33" t="str">
        <x:v>Real Estate</x:v>
      </x:c>
      <x:c r="C33" s="24" t="n">
        <x:v>8.5</x:v>
      </x:c>
      <x:c r="D33" t="str">
        <x:v>Illustrative placeholder; replace with latest market data.</x:v>
      </x:c>
    </x:row>
    <x:row r="34">
      <x:c r="A34" t="str">
        <x:v>SEGRO</x:v>
      </x:c>
      <x:c r="B34" t="str">
        <x:v>Industrial Real Estate</x:v>
      </x:c>
      <x:c r="C34" s="24" t="n">
        <x:v>14</x:v>
      </x:c>
      <x:c r="D34" t="str">
        <x:v>Illustrative placeholder; replace with latest market data.</x:v>
      </x:c>
    </x:row>
    <x:row r="35">
      <x:c r="A35" t="str">
        <x:v>Taylor Wimpey</x:v>
      </x:c>
      <x:c r="B35" t="str">
        <x:v>Housebuilding</x:v>
      </x:c>
      <x:c r="C35" s="24" t="n">
        <x:v>7</x:v>
      </x:c>
      <x:c r="D35" t="str">
        <x:v>Illustrative placeholder; replace with latest market data.</x:v>
      </x:c>
    </x:row>
    <x:row r="36">
      <x:c r="A36" t="str">
        <x:v>Travis Perkins</x:v>
      </x:c>
      <x:c r="B36" t="str">
        <x:v>Building Materials</x:v>
      </x:c>
      <x:c r="C36" s="24" t="n">
        <x:v>6.5</x:v>
      </x:c>
      <x:c r="D36" t="str">
        <x:v>Illustrative placeholder; replace with latest market data.</x:v>
      </x:c>
    </x:row>
    <x:row r="37">
      <x:c r="A37" t="str">
        <x:v>CRH</x:v>
      </x:c>
      <x:c r="B37" t="str">
        <x:v>Building Materials</x:v>
      </x:c>
      <x:c r="C37" s="24" t="n">
        <x:v>10.5</x:v>
      </x:c>
      <x:c r="D37" t="str">
        <x:v>Illustrative placeholder; replace with latest market data.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Operating Model (GBP mm)</x:v>
      </x:c>
      <x:c r="B1" s="6" t="str"/>
      <x:c r="C1" s="6" t="str"/>
      <x:c r="D1" s="6" t="str"/>
      <x:c r="E1" s="6" t="str"/>
      <x:c r="F1" s="6" t="str"/>
      <x:c r="G1" s="6" t="str"/>
    </x:row>
    <x:row r="4">
      <x:c r="A4" s="6" t="str"/>
      <x:c r="B4" s="6" t="str">
        <x:v>2025A</x:v>
      </x:c>
      <x:c r="C4" s="6" t="str">
        <x:v>2026E</x:v>
      </x:c>
      <x:c r="D4" s="6" t="str">
        <x:v>2027E</x:v>
      </x:c>
      <x:c r="E4" s="6" t="str">
        <x:v>2028E</x:v>
      </x:c>
      <x:c r="F4" s="6" t="str">
        <x:v>2029E</x:v>
      </x:c>
      <x:c r="G4" s="6" t="str">
        <x:v>2030E</x:v>
      </x:c>
    </x:row>
    <x:row r="5">
      <x:c r="A5" t="str">
        <x:v>Revenue / Rental Income</x:v>
      </x:c>
      <x:c r="B5" s="26" t="n">
        <x:f>'Assumptions'!B8</x:f>
        <x:v>650</x:v>
      </x:c>
      <x:c r="C5" s="26" t="n">
        <x:f>B5*(1+'Assumptions'!B23)</x:f>
        <x:v>682.5</x:v>
      </x:c>
      <x:c r="D5" s="26" t="n">
        <x:f>C5*(1+'Assumptions'!C23)</x:f>
        <x:v>713.2125</x:v>
      </x:c>
      <x:c r="E5" s="26" t="n">
        <x:f>D5*(1+'Assumptions'!D23)</x:f>
        <x:v>741.741</x:v>
      </x:c>
      <x:c r="F5" s="26" t="n">
        <x:f>E5*(1+'Assumptions'!E23)</x:f>
        <x:v>767.7019349999999</x:v>
      </x:c>
      <x:c r="G5" s="26" t="n">
        <x:f>F5*(1+'Assumptions'!F23)</x:f>
        <x:v>790.73299305</x:v>
      </x:c>
    </x:row>
    <x:row r="6">
      <x:c r="A6" t="str">
        <x:v>% Growth</x:v>
      </x:c>
      <x:c r="B6" s="28" t="str">
        <x:f>"-"</x:f>
        <x:v>-</x:v>
      </x:c>
      <x:c r="C6" s="28" t="n">
        <x:f>'Assumptions'!B23</x:f>
        <x:v>0.05</x:v>
      </x:c>
      <x:c r="D6" s="28" t="n">
        <x:f>'Assumptions'!C23</x:f>
        <x:v>0.045</x:v>
      </x:c>
      <x:c r="E6" s="28" t="n">
        <x:f>'Assumptions'!D23</x:f>
        <x:v>0.04</x:v>
      </x:c>
      <x:c r="F6" s="28" t="n">
        <x:f>'Assumptions'!E23</x:f>
        <x:v>0.035</x:v>
      </x:c>
      <x:c r="G6" s="28" t="n">
        <x:f>'Assumptions'!F23</x:f>
        <x:v>0.03</x:v>
      </x:c>
    </x:row>
    <x:row r="7">
      <x:c r="A7" t="str">
        <x:v>EBITDA Margin</x:v>
      </x:c>
      <x:c r="B7" s="28" t="n">
        <x:f>'Assumptions'!B9</x:f>
        <x:v>0.22</x:v>
      </x:c>
      <x:c r="C7" s="28" t="n">
        <x:f>'Assumptions'!B24</x:f>
        <x:v>0.225</x:v>
      </x:c>
      <x:c r="D7" s="28" t="n">
        <x:f>'Assumptions'!C24</x:f>
        <x:v>0.23</x:v>
      </x:c>
      <x:c r="E7" s="28" t="n">
        <x:f>'Assumptions'!D24</x:f>
        <x:v>0.235</x:v>
      </x:c>
      <x:c r="F7" s="28" t="n">
        <x:f>'Assumptions'!E24</x:f>
        <x:v>0.24</x:v>
      </x:c>
      <x:c r="G7" s="28" t="n">
        <x:f>'Assumptions'!F24</x:f>
        <x:v>0.245</x:v>
      </x:c>
    </x:row>
    <x:row r="8">
      <x:c r="A8" t="str">
        <x:v>EBITDA</x:v>
      </x:c>
      <x:c r="B8" s="26" t="n">
        <x:f>B5*B7</x:f>
        <x:v>143</x:v>
      </x:c>
      <x:c r="C8" s="26" t="n">
        <x:f>C5*C7</x:f>
        <x:v>153.5625</x:v>
      </x:c>
      <x:c r="D8" s="26" t="n">
        <x:f>D5*D7</x:f>
        <x:v>164.038875</x:v>
      </x:c>
      <x:c r="E8" s="26" t="n">
        <x:f>E5*E7</x:f>
        <x:v>174.309135</x:v>
      </x:c>
      <x:c r="F8" s="26" t="n">
        <x:f>F5*F7</x:f>
        <x:v>184.2484644</x:v>
      </x:c>
      <x:c r="G8" s="26" t="n">
        <x:f>G5*G7</x:f>
        <x:v>193.72958329725</x:v>
      </x:c>
    </x:row>
    <x:row r="9">
      <x:c r="A9" t="str">
        <x:v>D&amp;A (% Revenue)</x:v>
      </x:c>
      <x:c r="B9" s="28" t="n">
        <x:f>'Assumptions'!B10</x:f>
        <x:v>0.04</x:v>
      </x:c>
      <x:c r="C9" s="28" t="n">
        <x:f>'Assumptions'!B25</x:f>
        <x:v>0.04</x:v>
      </x:c>
      <x:c r="D9" s="28" t="n">
        <x:f>'Assumptions'!C25</x:f>
        <x:v>0.04</x:v>
      </x:c>
      <x:c r="E9" s="28" t="n">
        <x:f>'Assumptions'!D25</x:f>
        <x:v>0.04</x:v>
      </x:c>
      <x:c r="F9" s="28" t="n">
        <x:f>'Assumptions'!E25</x:f>
        <x:v>0.04</x:v>
      </x:c>
      <x:c r="G9" s="28" t="n">
        <x:f>'Assumptions'!F25</x:f>
        <x:v>0.04</x:v>
      </x:c>
    </x:row>
    <x:row r="10">
      <x:c r="A10" t="str">
        <x:v>D&amp;A</x:v>
      </x:c>
      <x:c r="B10" s="26" t="n">
        <x:f>-B5*B9</x:f>
        <x:v>-26</x:v>
      </x:c>
      <x:c r="C10" s="26" t="n">
        <x:f>-C5*C9</x:f>
        <x:v>-27.3</x:v>
      </x:c>
      <x:c r="D10" s="26" t="n">
        <x:f>-D5*D9</x:f>
        <x:v>-28.5285</x:v>
      </x:c>
      <x:c r="E10" s="26" t="n">
        <x:f>-E5*E9</x:f>
        <x:v>-29.66964</x:v>
      </x:c>
      <x:c r="F10" s="26" t="n">
        <x:f>-F5*F9</x:f>
        <x:v>-30.708077399999997</x:v>
      </x:c>
      <x:c r="G10" s="26" t="n">
        <x:f>-G5*G9</x:f>
        <x:v>-31.629319722</x:v>
      </x:c>
    </x:row>
    <x:row r="11">
      <x:c r="A11" t="str">
        <x:v>EBIT</x:v>
      </x:c>
      <x:c r="B11" s="26" t="n">
        <x:f>B8+B10</x:f>
        <x:v>117</x:v>
      </x:c>
      <x:c r="C11" s="26" t="n">
        <x:f>C8+C10</x:f>
        <x:v>126.2625</x:v>
      </x:c>
      <x:c r="D11" s="26" t="n">
        <x:f>D8+D10</x:f>
        <x:v>135.51037499999998</x:v>
      </x:c>
      <x:c r="E11" s="26" t="n">
        <x:f>E8+E10</x:f>
        <x:v>144.639495</x:v>
      </x:c>
      <x:c r="F11" s="26" t="n">
        <x:f>F8+F10</x:f>
        <x:v>153.54038699999998</x:v>
      </x:c>
      <x:c r="G11" s="26" t="n">
        <x:f>G8+G10</x:f>
        <x:v>162.10026357525</x:v>
      </x:c>
    </x:row>
    <x:row r="12">
      <x:c r="A12" t="str">
        <x:v>Tax Rate</x:v>
      </x:c>
      <x:c r="B12" s="28" t="n">
        <x:f>'Assumptions'!B11</x:f>
        <x:v>0.25</x:v>
      </x:c>
      <x:c r="C12" s="28" t="n">
        <x:f>'Assumptions'!$B$11</x:f>
        <x:v>0.25</x:v>
      </x:c>
      <x:c r="D12" s="28" t="n">
        <x:f>'Assumptions'!$B$11</x:f>
        <x:v>0.25</x:v>
      </x:c>
      <x:c r="E12" s="28" t="n">
        <x:f>'Assumptions'!$B$11</x:f>
        <x:v>0.25</x:v>
      </x:c>
      <x:c r="F12" s="28" t="n">
        <x:f>'Assumptions'!$B$11</x:f>
        <x:v>0.25</x:v>
      </x:c>
      <x:c r="G12" s="28" t="n">
        <x:f>'Assumptions'!$B$11</x:f>
        <x:v>0.25</x:v>
      </x:c>
    </x:row>
    <x:row r="13">
      <x:c r="A13" t="str">
        <x:v>Taxes</x:v>
      </x:c>
      <x:c r="B13" s="26" t="n">
        <x:f>-B11*B12</x:f>
        <x:v>-29.25</x:v>
      </x:c>
      <x:c r="C13" s="26" t="n">
        <x:f>-C11*C12</x:f>
        <x:v>-31.565625</x:v>
      </x:c>
      <x:c r="D13" s="26" t="n">
        <x:f>-D11*D12</x:f>
        <x:v>-33.877593749999996</x:v>
      </x:c>
      <x:c r="E13" s="26" t="n">
        <x:f>-E11*E12</x:f>
        <x:v>-36.15987375</x:v>
      </x:c>
      <x:c r="F13" s="26" t="n">
        <x:f>-F11*F12</x:f>
        <x:v>-38.385096749999995</x:v>
      </x:c>
      <x:c r="G13" s="26" t="n">
        <x:f>-G11*G12</x:f>
        <x:v>-40.5250658938125</x:v>
      </x:c>
    </x:row>
    <x:row r="14">
      <x:c r="A14" t="str">
        <x:v>Capex (% Revenue)</x:v>
      </x:c>
      <x:c r="B14" s="28" t="n">
        <x:f>'Assumptions'!B12</x:f>
        <x:v>0.06</x:v>
      </x:c>
      <x:c r="C14" s="28" t="n">
        <x:f>'Assumptions'!B26</x:f>
        <x:v>0.06</x:v>
      </x:c>
      <x:c r="D14" s="28" t="n">
        <x:f>'Assumptions'!C26</x:f>
        <x:v>0.058</x:v>
      </x:c>
      <x:c r="E14" s="28" t="n">
        <x:f>'Assumptions'!D26</x:f>
        <x:v>0.056</x:v>
      </x:c>
      <x:c r="F14" s="28" t="n">
        <x:f>'Assumptions'!E26</x:f>
        <x:v>0.055</x:v>
      </x:c>
      <x:c r="G14" s="28" t="n">
        <x:f>'Assumptions'!F26</x:f>
        <x:v>0.055</x:v>
      </x:c>
    </x:row>
    <x:row r="15">
      <x:c r="A15" t="str">
        <x:v>Capex</x:v>
      </x:c>
      <x:c r="B15" s="26" t="n">
        <x:f>-B5*B14</x:f>
        <x:v>-39</x:v>
      </x:c>
      <x:c r="C15" s="26" t="n">
        <x:f>-C5*C14</x:f>
        <x:v>-40.949999999999996</x:v>
      </x:c>
      <x:c r="D15" s="26" t="n">
        <x:f>-D5*D14</x:f>
        <x:v>-41.366325</x:v>
      </x:c>
      <x:c r="E15" s="26" t="n">
        <x:f>-E5*E14</x:f>
        <x:v>-41.537496</x:v>
      </x:c>
      <x:c r="F15" s="26" t="n">
        <x:f>-F5*F14</x:f>
        <x:v>-42.223606425</x:v>
      </x:c>
      <x:c r="G15" s="26" t="n">
        <x:f>-G5*G14</x:f>
        <x:v>-43.49031461775</x:v>
      </x:c>
    </x:row>
    <x:row r="16">
      <x:c r="A16" t="str">
        <x:v>NWC (% Revenue)</x:v>
      </x:c>
      <x:c r="B16" s="28" t="n">
        <x:f>'Assumptions'!B13</x:f>
        <x:v>0.02</x:v>
      </x:c>
      <x:c r="C16" s="28" t="n">
        <x:f>'Assumptions'!B27</x:f>
        <x:v>0.02</x:v>
      </x:c>
      <x:c r="D16" s="28" t="n">
        <x:f>'Assumptions'!C27</x:f>
        <x:v>0.02</x:v>
      </x:c>
      <x:c r="E16" s="28" t="n">
        <x:f>'Assumptions'!D27</x:f>
        <x:v>0.02</x:v>
      </x:c>
      <x:c r="F16" s="28" t="n">
        <x:f>'Assumptions'!E27</x:f>
        <x:v>0.02</x:v>
      </x:c>
      <x:c r="G16" s="28" t="n">
        <x:f>'Assumptions'!F27</x:f>
        <x:v>0.02</x:v>
      </x:c>
    </x:row>
    <x:row r="17">
      <x:c r="A17" t="str">
        <x:v>NWC Balance</x:v>
      </x:c>
      <x:c r="B17" s="26" t="n">
        <x:f>B5*B16</x:f>
        <x:v>13</x:v>
      </x:c>
      <x:c r="C17" s="26" t="n">
        <x:f>C5*C16</x:f>
        <x:v>13.65</x:v>
      </x:c>
      <x:c r="D17" s="26" t="n">
        <x:f>D5*D16</x:f>
        <x:v>14.26425</x:v>
      </x:c>
      <x:c r="E17" s="26" t="n">
        <x:f>E5*E16</x:f>
        <x:v>14.83482</x:v>
      </x:c>
      <x:c r="F17" s="26" t="n">
        <x:f>F5*F16</x:f>
        <x:v>15.354038699999998</x:v>
      </x:c>
      <x:c r="G17" s="26" t="n">
        <x:f>G5*G16</x:f>
        <x:v>15.814659861</x:v>
      </x:c>
    </x:row>
    <x:row r="18">
      <x:c r="A18" t="str">
        <x:v>Change in NWC</x:v>
      </x:c>
      <x:c r="B18" s="26" t="str">
        <x:f>"-"</x:f>
        <x:v>-</x:v>
      </x:c>
      <x:c r="C18" s="26" t="n">
        <x:f>-(C17-B17)</x:f>
        <x:v>-0.6500000000000004</x:v>
      </x:c>
      <x:c r="D18" s="26" t="n">
        <x:f>-(D17-C17)</x:f>
        <x:v>-0.6142500000000002</x:v>
      </x:c>
      <x:c r="E18" s="26" t="n">
        <x:f>-(E17-D17)</x:f>
        <x:v>-0.57057</x:v>
      </x:c>
      <x:c r="F18" s="26" t="n">
        <x:f>-(F17-E17)</x:f>
        <x:v>-0.5192186999999979</x:v>
      </x:c>
      <x:c r="G18" s="26" t="n">
        <x:f>-(G17-F17)</x:f>
        <x:v>-0.4606211610000024</x:v>
      </x:c>
    </x:row>
    <x:row r="19">
      <x:c r="A19" t="str">
        <x:v>Unlevered FCF</x:v>
      </x:c>
      <x:c r="B19" s="26" t="n">
        <x:f>B11+B10+B13+B15</x:f>
        <x:v>22.75</x:v>
      </x:c>
      <x:c r="C19" s="26" t="n">
        <x:f>C11+C10+C13+C15+C18</x:f>
        <x:v>25.796875000000014</x:v>
      </x:c>
      <x:c r="D19" s="26" t="n">
        <x:f>D11+D10+D13+D15+D18</x:f>
        <x:v>31.123706249999984</x:v>
      </x:c>
      <x:c r="E19" s="26" t="n">
        <x:f>E11+E10+E13+E15+E18</x:f>
        <x:v>36.70191525000001</x:v>
      </x:c>
      <x:c r="F19" s="26" t="n">
        <x:f>F11+F10+F13+F15+F18</x:f>
        <x:v>41.704387725000004</x:v>
      </x:c>
      <x:c r="G19" s="26" t="n">
        <x:f>G11+G10+G13+G15+G18</x:f>
        <x:v>45.99494218068752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6" t="str">
        <x:v>Valuation Output (GBP mm except per-share data)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</x:row>
    <x:row r="3">
      <x:c r="A3" s="6" t="str">
        <x:v>DCF Valuation</x:v>
      </x:c>
      <x:c r="B3" s="6" t="str">
        <x:v>Output</x:v>
      </x:c>
    </x:row>
    <x:row r="4">
      <x:c r="A4" t="str">
        <x:v>WACC</x:v>
      </x:c>
      <x:c r="B4" s="28" t="n">
        <x:f>'Assumptions'!B14</x:f>
        <x:v>0.09</x:v>
      </x:c>
    </x:row>
    <x:row r="5">
      <x:c r="A5" t="str">
        <x:v>Terminal Growth</x:v>
      </x:c>
      <x:c r="B5" s="28" t="n">
        <x:f>'Assumptions'!B15</x:f>
        <x:v>0.02</x:v>
      </x:c>
    </x:row>
    <x:row r="6">
      <x:c r="A6" t="str">
        <x:v>Exit EV/EBITDA Multiple</x:v>
      </x:c>
      <x:c r="B6" s="30" t="n">
        <x:f>'Assumptions'!B16</x:f>
        <x:v>10</x:v>
      </x:c>
    </x:row>
    <x:row r="7">
      <x:c r="A7" t="str">
        <x:v>PV of Explicit FCF</x:v>
      </x:c>
      <x:c r="B7" s="26" t="n">
        <x:f>NPV(B4,'Operating Model'!C19:G19)</x:f>
        <x:v>137.64166751838115</x:v>
      </x:c>
    </x:row>
    <x:row r="8">
      <x:c r="A8" t="str">
        <x:v>Terminal Value (Exit Multiple)</x:v>
      </x:c>
      <x:c r="B8" s="26" t="n">
        <x:f>'Operating Model'!G8*B6</x:f>
        <x:v>1937.2958329725</x:v>
      </x:c>
    </x:row>
    <x:row r="9">
      <x:c r="A9" t="str">
        <x:v>PV of Terminal Value</x:v>
      </x:c>
      <x:c r="B9" s="26" t="n">
        <x:f>B8/(1+B4)^5</x:f>
        <x:v>1259.1093663938245</x:v>
      </x:c>
    </x:row>
    <x:row r="10">
      <x:c r="A10" t="str">
        <x:v>DCF Enterprise Value</x:v>
      </x:c>
      <x:c r="B10" s="26" t="n">
        <x:f>B7+B9</x:f>
        <x:v>1396.7510339122057</x:v>
      </x:c>
    </x:row>
    <x:row r="11">
      <x:c r="A11" t="str">
        <x:v>Less: Net Debt</x:v>
      </x:c>
      <x:c r="B11" s="26" t="n">
        <x:f>'Assumptions'!B6</x:f>
        <x:v>450</x:v>
      </x:c>
    </x:row>
    <x:row r="12">
      <x:c r="A12" t="str">
        <x:v>DCF Equity Value</x:v>
      </x:c>
      <x:c r="B12" s="26" t="n">
        <x:f>B10-B11</x:f>
        <x:v>946.7510339122057</x:v>
      </x:c>
    </x:row>
    <x:row r="13">
      <x:c r="A13" t="str">
        <x:v>Diluted Shares Outstanding (mm)</x:v>
      </x:c>
      <x:c r="B13" s="32" t="n">
        <x:f>'Assumptions'!B7</x:f>
        <x:v>110</x:v>
      </x:c>
    </x:row>
    <x:row r="14">
      <x:c r="A14" t="str">
        <x:v>DCF Equity Value / Share</x:v>
      </x:c>
      <x:c r="B14" s="32" t="n">
        <x:f>B12/B13</x:f>
        <x:v>8.606827581020053</x:v>
      </x:c>
    </x:row>
    <x:row r="15">
      <x:c r="A15" t="str">
        <x:v>Implied FY30 EV/EBITDA</x:v>
      </x:c>
      <x:c r="B15" s="30" t="n">
        <x:f>B10/'Operating Model'!G8</x:f>
        <x:v>7.209797337813366</x:v>
      </x:c>
    </x:row>
    <x:row r="16">
      <x:c r="A16" t="str">
        <x:v>Notes</x:v>
      </x:c>
      <x:c r="B16" s="14" t="str">
        <x:f>"Illustrative DCF using placeholder assumptions."</x:f>
        <x:v>Illustrative DCF using placeholder assumptions.</x:v>
      </x:c>
    </x:row>
    <x:row r="19">
      <x:c r="A19" s="6" t="str">
        <x:v>Trading Comparable Companies</x:v>
      </x:c>
      <x:c r="B19" s="6" t="str"/>
      <x:c r="C19" s="6" t="str"/>
      <x:c r="D19" s="6" t="str"/>
      <x:c r="E19" s="6" t="str"/>
      <x:c r="F19" s="6" t="str"/>
      <x:c r="G19" s="6" t="str"/>
      <x:c r="H19" s="6" t="str"/>
      <x:c r="I19" s="6" t="str"/>
    </x:row>
    <x:row r="20">
      <x:c r="A20" s="6" t="str">
        <x:v>Peer Company</x:v>
      </x:c>
      <x:c r="B20" s="6" t="str">
        <x:v>Sector</x:v>
      </x:c>
      <x:c r="C20" s="6" t="str">
        <x:v>EV</x:v>
      </x:c>
      <x:c r="D20" s="6" t="str">
        <x:v>Revenue</x:v>
      </x:c>
      <x:c r="E20" s="6" t="str">
        <x:v>EBITDA</x:v>
      </x:c>
      <x:c r="F20" s="6" t="str">
        <x:v>Net Income</x:v>
      </x:c>
      <x:c r="G20" s="6" t="str">
        <x:v>EV/Revenue</x:v>
      </x:c>
      <x:c r="H20" s="6" t="str">
        <x:v>EV/EBITDA</x:v>
      </x:c>
      <x:c r="I20" s="6" t="str">
        <x:v>P/E</x:v>
      </x:c>
    </x:row>
    <x:row r="21">
      <x:c r="A21" t="str">
        <x:v>British Land</x:v>
      </x:c>
      <x:c r="B21" t="str">
        <x:v>Real Estate</x:v>
      </x:c>
      <x:c r="C21" s="34" t="n">
        <x:v>4800</x:v>
      </x:c>
      <x:c r="D21" s="34" t="n">
        <x:v>550</x:v>
      </x:c>
      <x:c r="E21" s="34" t="n">
        <x:v>600</x:v>
      </x:c>
      <x:c r="F21" s="34" t="n">
        <x:v>220</x:v>
      </x:c>
      <x:c r="G21" s="30" t="n">
        <x:f>C21/D21</x:f>
        <x:v>8.727272727272727</x:v>
      </x:c>
      <x:c r="H21" s="30" t="n">
        <x:f>C21/E21</x:f>
        <x:v>8</x:v>
      </x:c>
      <x:c r="I21" s="30" t="n">
        <x:f>C21/F21</x:f>
        <x:v>21.818181818181817</x:v>
      </x:c>
    </x:row>
    <x:row r="22">
      <x:c r="A22" t="str">
        <x:v>Landsec</x:v>
      </x:c>
      <x:c r="B22" t="str">
        <x:v>Real Estate</x:v>
      </x:c>
      <x:c r="C22" s="34" t="n">
        <x:v>6200</x:v>
      </x:c>
      <x:c r="D22" s="34" t="n">
        <x:v>750</x:v>
      </x:c>
      <x:c r="E22" s="34" t="n">
        <x:v>730</x:v>
      </x:c>
      <x:c r="F22" s="34" t="n">
        <x:v>280</x:v>
      </x:c>
      <x:c r="G22" s="30" t="n">
        <x:f>C22/D22</x:f>
        <x:v>8.266666666666667</x:v>
      </x:c>
      <x:c r="H22" s="30" t="n">
        <x:f>C22/E22</x:f>
        <x:v>8.493150684931507</x:v>
      </x:c>
      <x:c r="I22" s="30" t="n">
        <x:f>C22/F22</x:f>
        <x:v>22.142857142857142</x:v>
      </x:c>
    </x:row>
    <x:row r="23">
      <x:c r="A23" t="str">
        <x:v>SEGRO</x:v>
      </x:c>
      <x:c r="B23" t="str">
        <x:v>Industrial Real Estate</x:v>
      </x:c>
      <x:c r="C23" s="34" t="n">
        <x:v>15500</x:v>
      </x:c>
      <x:c r="D23" s="34" t="n">
        <x:v>900</x:v>
      </x:c>
      <x:c r="E23" s="34" t="n">
        <x:v>1100</x:v>
      </x:c>
      <x:c r="F23" s="34" t="n">
        <x:v>420</x:v>
      </x:c>
      <x:c r="G23" s="30" t="n">
        <x:f>C23/D23</x:f>
        <x:v>17.22222222222222</x:v>
      </x:c>
      <x:c r="H23" s="30" t="n">
        <x:f>C23/E23</x:f>
        <x:v>14.090909090909092</x:v>
      </x:c>
      <x:c r="I23" s="30" t="n">
        <x:f>C23/F23</x:f>
        <x:v>36.904761904761905</x:v>
      </x:c>
    </x:row>
    <x:row r="24">
      <x:c r="A24" t="str">
        <x:v>Taylor Wimpey</x:v>
      </x:c>
      <x:c r="B24" t="str">
        <x:v>Housebuilding</x:v>
      </x:c>
      <x:c r="C24" s="34" t="n">
        <x:v>5200</x:v>
      </x:c>
      <x:c r="D24" s="34" t="n">
        <x:v>3500</x:v>
      </x:c>
      <x:c r="E24" s="34" t="n">
        <x:v>730</x:v>
      </x:c>
      <x:c r="F24" s="34" t="n">
        <x:v>340</x:v>
      </x:c>
      <x:c r="G24" s="30" t="n">
        <x:f>C24/D24</x:f>
        <x:v>1.4857142857142858</x:v>
      </x:c>
      <x:c r="H24" s="30" t="n">
        <x:f>C24/E24</x:f>
        <x:v>7.123287671232877</x:v>
      </x:c>
      <x:c r="I24" s="30" t="n">
        <x:f>C24/F24</x:f>
        <x:v>15.294117647058824</x:v>
      </x:c>
    </x:row>
    <x:row r="25">
      <x:c r="A25" t="str">
        <x:v>Travis Perkins</x:v>
      </x:c>
      <x:c r="B25" t="str">
        <x:v>Building Materials</x:v>
      </x:c>
      <x:c r="C25" s="34" t="n">
        <x:v>2200</x:v>
      </x:c>
      <x:c r="D25" s="34" t="n">
        <x:v>4600</x:v>
      </x:c>
      <x:c r="E25" s="34" t="n">
        <x:v>340</x:v>
      </x:c>
      <x:c r="F25" s="34" t="n">
        <x:v>115</x:v>
      </x:c>
      <x:c r="G25" s="30" t="n">
        <x:f>C25/D25</x:f>
        <x:v>0.4782608695652174</x:v>
      </x:c>
      <x:c r="H25" s="30" t="n">
        <x:f>C25/E25</x:f>
        <x:v>6.470588235294118</x:v>
      </x:c>
      <x:c r="I25" s="30" t="n">
        <x:f>C25/F25</x:f>
        <x:v>19.130434782608695</x:v>
      </x:c>
    </x:row>
    <x:row r="26">
      <x:c r="A26" t="str">
        <x:v>CRH</x:v>
      </x:c>
      <x:c r="B26" t="str">
        <x:v>Building Materials</x:v>
      </x:c>
      <x:c r="C26" s="34" t="n">
        <x:v>72000</x:v>
      </x:c>
      <x:c r="D26" s="34" t="n">
        <x:v>34500</x:v>
      </x:c>
      <x:c r="E26" s="34" t="n">
        <x:v>6900</x:v>
      </x:c>
      <x:c r="F26" s="34" t="n">
        <x:v>3600</x:v>
      </x:c>
      <x:c r="G26" s="30" t="n">
        <x:f>C26/D26</x:f>
        <x:v>2.0869565217391304</x:v>
      </x:c>
      <x:c r="H26" s="30" t="n">
        <x:f>C26/E26</x:f>
        <x:v>10.434782608695652</x:v>
      </x:c>
      <x:c r="I26" s="30" t="n">
        <x:f>C26/F26</x:f>
        <x:v>20</x:v>
      </x:c>
    </x:row>
    <x:row r="27">
      <x:c r="A27" t="str">
        <x:v>Average</x:v>
      </x:c>
      <x:c r="B27" t="str"/>
      <x:c r="C27" s="34" t="str"/>
      <x:c r="D27" s="34" t="str"/>
      <x:c r="E27" s="34" t="str"/>
      <x:c r="F27" s="34" t="str"/>
      <x:c r="G27" s="30" t="n">
        <x:f>AVERAGE(G21:G26)</x:f>
        <x:v>6.377848882196709</x:v>
      </x:c>
      <x:c r="H27" s="30" t="n">
        <x:f>AVERAGE(H21:H26)</x:f>
        <x:v>9.102119715177208</x:v>
      </x:c>
      <x:c r="I27" s="30" t="n">
        <x:f>AVERAGE(I21:I26)</x:f>
        <x:v>22.548392215911395</x:v>
      </x:c>
    </x:row>
    <x:row r="28">
      <x:c r="A28" t="str">
        <x:v>Median</x:v>
      </x:c>
      <x:c r="B28" t="str"/>
      <x:c r="C28" s="34" t="str"/>
      <x:c r="D28" s="34" t="str"/>
      <x:c r="E28" s="34" t="str"/>
      <x:c r="F28" s="34" t="str"/>
      <x:c r="G28" s="30" t="n">
        <x:f>MEDIAN(G21:G26)</x:f>
        <x:v>5.176811594202899</x:v>
      </x:c>
      <x:c r="H28" s="30" t="n">
        <x:f>MEDIAN(H21:H26)</x:f>
        <x:v>8.246575342465754</x:v>
      </x:c>
      <x:c r="I28" s="30" t="n">
        <x:f>MEDIAN(I21:I26)</x:f>
        <x:v>20.909090909090907</x:v>
      </x:c>
    </x:row>
    <x:row r="31">
      <x:c r="A31" s="6" t="str">
        <x:v>Trading Comps Implied Valuation</x:v>
      </x:c>
      <x:c r="B31" s="6" t="str">
        <x:v>Low</x:v>
      </x:c>
      <x:c r="C31" s="6" t="str">
        <x:v>Mid</x:v>
      </x:c>
      <x:c r="D31" s="6" t="str">
        <x:v>High</x:v>
      </x:c>
    </x:row>
    <x:row r="32">
      <x:c r="A32" t="str">
        <x:v>Selected EV/EBITDA Multiple</x:v>
      </x:c>
      <x:c r="B32" s="24" t="n">
        <x:v>7</x:v>
      </x:c>
      <x:c r="C32" s="24" t="n">
        <x:v>8.5</x:v>
      </x:c>
      <x:c r="D32" s="24" t="n">
        <x:v>10</x:v>
      </x:c>
    </x:row>
    <x:row r="33">
      <x:c r="A33" t="str">
        <x:v>2026E EBITDA</x:v>
      </x:c>
      <x:c r="B33" s="26" t="n">
        <x:f>'Operating Model'!C8</x:f>
        <x:v>153.5625</x:v>
      </x:c>
      <x:c r="C33" s="26" t="n">
        <x:f>'Operating Model'!C8</x:f>
        <x:v>153.5625</x:v>
      </x:c>
      <x:c r="D33" s="26" t="n">
        <x:f>'Operating Model'!C8</x:f>
        <x:v>153.5625</x:v>
      </x:c>
    </x:row>
    <x:row r="34">
      <x:c r="A34" t="str">
        <x:v>Implied Enterprise Value</x:v>
      </x:c>
      <x:c r="B34" s="26" t="n">
        <x:f>B32*B33</x:f>
        <x:v>1074.9375</x:v>
      </x:c>
      <x:c r="C34" s="26" t="n">
        <x:f>C32*C33</x:f>
        <x:v>1305.28125</x:v>
      </x:c>
      <x:c r="D34" s="26" t="n">
        <x:f>D32*D33</x:f>
        <x:v>1535.625</x:v>
      </x:c>
    </x:row>
    <x:row r="35">
      <x:c r="A35" t="str">
        <x:v>Less: Net Debt</x:v>
      </x:c>
      <x:c r="B35" s="26" t="n">
        <x:f>'Assumptions'!B6</x:f>
        <x:v>450</x:v>
      </x:c>
      <x:c r="C35" s="26" t="n">
        <x:f>'Assumptions'!B6</x:f>
        <x:v>450</x:v>
      </x:c>
      <x:c r="D35" s="26" t="n">
        <x:f>'Assumptions'!B6</x:f>
        <x:v>450</x:v>
      </x:c>
    </x:row>
    <x:row r="36">
      <x:c r="A36" t="str">
        <x:v>Implied Equity Value</x:v>
      </x:c>
      <x:c r="B36" s="26" t="n">
        <x:f>B34-B35</x:f>
        <x:v>624.9375</x:v>
      </x:c>
      <x:c r="C36" s="26" t="n">
        <x:f>C34-C35</x:f>
        <x:v>855.28125</x:v>
      </x:c>
      <x:c r="D36" s="26" t="n">
        <x:f>D34-D35</x:f>
        <x:v>1085.625</x:v>
      </x:c>
    </x:row>
    <x:row r="37">
      <x:c r="A37" t="str">
        <x:v>Implied Equity Value / Share</x:v>
      </x:c>
      <x:c r="B37" s="32" t="n">
        <x:f>B36/'Assumptions'!B7</x:f>
        <x:v>5.68125</x:v>
      </x:c>
      <x:c r="C37" s="32" t="n">
        <x:f>C36/'Assumptions'!B7</x:f>
        <x:v>7.775284090909091</x:v>
      </x:c>
      <x:c r="D37" s="32" t="n">
        <x:f>D36/'Assumptions'!B7</x:f>
        <x:v>9.869318181818182</x:v>
      </x:c>
    </x:row>
    <x:row r="40">
      <x:c r="A40" s="6" t="str">
        <x:v>NAV / Cap-Rate Valuation</x:v>
      </x:c>
      <x:c r="B40" s="6" t="str">
        <x:v>Low</x:v>
      </x:c>
      <x:c r="C40" s="6" t="str">
        <x:v>Mid</x:v>
      </x:c>
      <x:c r="D40" s="6" t="str">
        <x:v>High</x:v>
      </x:c>
    </x:row>
    <x:row r="41">
      <x:c r="A41" t="str">
        <x:v>Selected Cap Rate</x:v>
      </x:c>
      <x:c r="B41" s="36" t="n">
        <x:v>0.065</x:v>
      </x:c>
      <x:c r="C41" s="36" t="n">
        <x:v>0.06</x:v>
      </x:c>
      <x:c r="D41" s="36" t="n">
        <x:v>0.055</x:v>
      </x:c>
    </x:row>
    <x:row r="42">
      <x:c r="A42" t="str">
        <x:v>2025A NOI</x:v>
      </x:c>
      <x:c r="B42" s="26" t="n">
        <x:f>'Assumptions'!B17</x:f>
        <x:v>95</x:v>
      </x:c>
      <x:c r="C42" s="26" t="n">
        <x:f>'Assumptions'!B17</x:f>
        <x:v>95</x:v>
      </x:c>
      <x:c r="D42" s="26" t="n">
        <x:f>'Assumptions'!B17</x:f>
        <x:v>95</x:v>
      </x:c>
    </x:row>
    <x:row r="43">
      <x:c r="A43" t="str">
        <x:v>Gross Property Value</x:v>
      </x:c>
      <x:c r="B43" s="26" t="n">
        <x:f>B42/B41</x:f>
        <x:v>1461.5384615384614</x:v>
      </x:c>
      <x:c r="C43" s="26" t="n">
        <x:f>C42/C41</x:f>
        <x:v>1583.3333333333335</x:v>
      </x:c>
      <x:c r="D43" s="26" t="n">
        <x:f>D42/D41</x:f>
        <x:v>1727.2727272727273</x:v>
      </x:c>
    </x:row>
    <x:row r="44">
      <x:c r="A44" t="str">
        <x:v>Less: Net Debt</x:v>
      </x:c>
      <x:c r="B44" s="26" t="n">
        <x:f>'Assumptions'!B6</x:f>
        <x:v>450</x:v>
      </x:c>
      <x:c r="C44" s="26" t="n">
        <x:f>'Assumptions'!B6</x:f>
        <x:v>450</x:v>
      </x:c>
      <x:c r="D44" s="26" t="n">
        <x:f>'Assumptions'!B6</x:f>
        <x:v>450</x:v>
      </x:c>
    </x:row>
    <x:row r="45">
      <x:c r="A45" t="str">
        <x:v>Implied Equity Value</x:v>
      </x:c>
      <x:c r="B45" s="26" t="n">
        <x:f>B43-B44</x:f>
        <x:v>1011.5384615384614</x:v>
      </x:c>
      <x:c r="C45" s="26" t="n">
        <x:f>C43-C44</x:f>
        <x:v>1133.3333333333335</x:v>
      </x:c>
      <x:c r="D45" s="26" t="n">
        <x:f>D43-D44</x:f>
        <x:v>1277.2727272727273</x:v>
      </x:c>
    </x:row>
    <x:row r="46">
      <x:c r="A46" t="str">
        <x:v>Implied Equity Value / Share</x:v>
      </x:c>
      <x:c r="B46" s="32" t="n">
        <x:f>B45/'Assumptions'!B7</x:f>
        <x:v>9.195804195804195</x:v>
      </x:c>
      <x:c r="C46" s="32" t="n">
        <x:f>C45/'Assumptions'!B7</x:f>
        <x:v>10.303030303030305</x:v>
      </x:c>
      <x:c r="D46" s="32" t="n">
        <x:f>D45/'Assumptions'!B7</x:f>
        <x:v>11.611570247933884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Sensitivity Analysis (GBP per share)</x:v>
      </x:c>
      <x:c r="B1" s="6" t="str"/>
      <x:c r="C1" s="6" t="str"/>
      <x:c r="D1" s="6" t="str"/>
      <x:c r="E1" s="6" t="str"/>
      <x:c r="F1" s="6" t="str"/>
      <x:c r="G1" s="6" t="str"/>
    </x:row>
    <x:row r="3">
      <x:c r="A3" s="6" t="str">
        <x:v>EV/EBITDA Multiple Sensitivity</x:v>
      </x:c>
      <x:c r="B3" s="6" t="str"/>
      <x:c r="C3" s="6" t="str"/>
      <x:c r="D3" s="6" t="str"/>
      <x:c r="E3" s="6" t="str"/>
      <x:c r="F3" s="6" t="str"/>
    </x:row>
    <x:row r="4">
      <x:c r="A4" s="6" t="str">
        <x:v>2026E EBITDA Scenario</x:v>
      </x:c>
      <x:c r="B4" s="6" t="str">
        <x:v>7.0x</x:v>
      </x:c>
      <x:c r="C4" s="6" t="str">
        <x:v>8.0x</x:v>
      </x:c>
      <x:c r="D4" s="6" t="str">
        <x:v>9.0x</x:v>
      </x:c>
      <x:c r="E4" s="6" t="str">
        <x:v>10.0x</x:v>
      </x:c>
      <x:c r="F4" s="6" t="str">
        <x:v>11.0x</x:v>
      </x:c>
    </x:row>
    <x:row r="5">
      <x:c r="A5" t="str">
        <x:v>Downside (-10%)</x:v>
      </x:c>
      <x:c r="B5" s="32" t="n">
        <x:f>((('Operating Model'!C8*0.9)*7)-'Assumptions'!B6)/'Assumptions'!B7</x:f>
        <x:v>4.704034090909092</x:v>
      </x:c>
      <x:c r="C5" s="32" t="n">
        <x:f>((('Operating Model'!C8*0.9)*8)-'Assumptions'!B6)/'Assumptions'!B7</x:f>
        <x:v>5.960454545454546</x:v>
      </x:c>
      <x:c r="D5" s="32" t="n">
        <x:f>((('Operating Model'!C8*0.9)*9)-'Assumptions'!B6)/'Assumptions'!B7</x:f>
        <x:v>7.216875000000001</x:v>
      </x:c>
      <x:c r="E5" s="32" t="n">
        <x:f>((('Operating Model'!C8*0.9)*10)-'Assumptions'!B6)/'Assumptions'!B7</x:f>
        <x:v>8.473295454545454</x:v>
      </x:c>
      <x:c r="F5" s="32" t="n">
        <x:f>((('Operating Model'!C8*0.9)*11)-'Assumptions'!B6)/'Assumptions'!B7</x:f>
        <x:v>9.729715909090912</x:v>
      </x:c>
    </x:row>
    <x:row r="6">
      <x:c r="A6" t="str">
        <x:v>Base</x:v>
      </x:c>
      <x:c r="B6" s="32" t="n">
        <x:f>((('Operating Model'!C8*1.0)*7)-'Assumptions'!B6)/'Assumptions'!B7</x:f>
        <x:v>5.68125</x:v>
      </x:c>
      <x:c r="C6" s="32" t="n">
        <x:f>((('Operating Model'!C8*1.0)*8)-'Assumptions'!B6)/'Assumptions'!B7</x:f>
        <x:v>7.077272727272727</x:v>
      </x:c>
      <x:c r="D6" s="32" t="n">
        <x:f>((('Operating Model'!C8*1.0)*9)-'Assumptions'!B6)/'Assumptions'!B7</x:f>
        <x:v>8.473295454545454</x:v>
      </x:c>
      <x:c r="E6" s="32" t="n">
        <x:f>((('Operating Model'!C8*1.0)*10)-'Assumptions'!B6)/'Assumptions'!B7</x:f>
        <x:v>9.869318181818182</x:v>
      </x:c>
      <x:c r="F6" s="32" t="n">
        <x:f>((('Operating Model'!C8*1.0)*11)-'Assumptions'!B6)/'Assumptions'!B7</x:f>
        <x:v>11.26534090909091</x:v>
      </x:c>
    </x:row>
    <x:row r="7">
      <x:c r="A7" t="str">
        <x:v>Upside (+10%)</x:v>
      </x:c>
      <x:c r="B7" s="32" t="n">
        <x:f>((('Operating Model'!C8*1.1)*7)-'Assumptions'!B6)/'Assumptions'!B7</x:f>
        <x:v>6.65846590909091</x:v>
      </x:c>
      <x:c r="C7" s="32" t="n">
        <x:f>((('Operating Model'!C8*1.1)*8)-'Assumptions'!B6)/'Assumptions'!B7</x:f>
        <x:v>8.19409090909091</x:v>
      </x:c>
      <x:c r="D7" s="32" t="n">
        <x:f>((('Operating Model'!C8*1.1)*9)-'Assumptions'!B6)/'Assumptions'!B7</x:f>
        <x:v>9.729715909090912</x:v>
      </x:c>
      <x:c r="E7" s="32" t="n">
        <x:f>((('Operating Model'!C8*1.1)*10)-'Assumptions'!B6)/'Assumptions'!B7</x:f>
        <x:v>11.265340909090911</x:v>
      </x:c>
      <x:c r="F7" s="32" t="n">
        <x:f>((('Operating Model'!C8*1.1)*11)-'Assumptions'!B6)/'Assumptions'!B7</x:f>
        <x:v>12.80096590909091</x:v>
      </x:c>
    </x:row>
    <x:row r="10">
      <x:c r="A10" s="6" t="str">
        <x:v>Cap Rate / NOI Sensitivity</x:v>
      </x:c>
      <x:c r="B10" s="6" t="str"/>
      <x:c r="C10" s="6" t="str"/>
      <x:c r="D10" s="6" t="str"/>
      <x:c r="E10" s="6" t="str"/>
      <x:c r="F10" s="6" t="str"/>
      <x:c r="G10" s="6" t="str"/>
    </x:row>
    <x:row r="11">
      <x:c r="A11" s="6" t="str">
        <x:v>NOI Scenario</x:v>
      </x:c>
      <x:c r="B11" s="6" t="str">
        <x:v>5.0%</x:v>
      </x:c>
      <x:c r="C11" s="6" t="str">
        <x:v>5.5%</x:v>
      </x:c>
      <x:c r="D11" s="6" t="str">
        <x:v>6.0%</x:v>
      </x:c>
      <x:c r="E11" s="6" t="str">
        <x:v>6.5%</x:v>
      </x:c>
      <x:c r="F11" s="6" t="str">
        <x:v>7.0%</x:v>
      </x:c>
      <x:c r="G11" s="6" t="str">
        <x:v>7.5%</x:v>
      </x:c>
    </x:row>
    <x:row r="12">
      <x:c r="A12" t="str">
        <x:v>Downside (-10%)</x:v>
      </x:c>
      <x:c r="B12" s="32" t="n">
        <x:f>((('Assumptions'!B17*0.9)/0.05)-'Assumptions'!B6)/'Assumptions'!B7</x:f>
        <x:v>11.454545454545455</x:v>
      </x:c>
      <x:c r="C12" s="32" t="n">
        <x:f>((('Assumptions'!B17*0.9)/0.055)-'Assumptions'!B6)/'Assumptions'!B7</x:f>
        <x:v>10.041322314049586</x:v>
      </x:c>
      <x:c r="D12" s="32" t="n">
        <x:f>((('Assumptions'!B17*0.9)/0.06)-'Assumptions'!B6)/'Assumptions'!B7</x:f>
        <x:v>8.863636363636363</x:v>
      </x:c>
      <x:c r="E12" s="32" t="n">
        <x:f>((('Assumptions'!B17*0.9)/0.065)-'Assumptions'!B6)/'Assumptions'!B7</x:f>
        <x:v>7.867132867132866</x:v>
      </x:c>
      <x:c r="F12" s="32" t="n">
        <x:f>((('Assumptions'!B17*0.9)/0.07)-'Assumptions'!B6)/'Assumptions'!B7</x:f>
        <x:v>7.012987012987012</x:v>
      </x:c>
      <x:c r="G12" s="32" t="n">
        <x:f>((('Assumptions'!B17*0.9)/0.075)-'Assumptions'!B6)/'Assumptions'!B7</x:f>
        <x:v>6.2727272727272725</x:v>
      </x:c>
    </x:row>
    <x:row r="13">
      <x:c r="A13" t="str">
        <x:v>Base</x:v>
      </x:c>
      <x:c r="B13" s="32" t="n">
        <x:f>((('Assumptions'!B17*1.0)/0.05)-'Assumptions'!B6)/'Assumptions'!B7</x:f>
        <x:v>13.181818181818182</x:v>
      </x:c>
      <x:c r="C13" s="32" t="n">
        <x:f>((('Assumptions'!B17*1.0)/0.055)-'Assumptions'!B6)/'Assumptions'!B7</x:f>
        <x:v>11.611570247933884</x:v>
      </x:c>
      <x:c r="D13" s="32" t="n">
        <x:f>((('Assumptions'!B17*1.0)/0.06)-'Assumptions'!B6)/'Assumptions'!B7</x:f>
        <x:v>10.303030303030305</x:v>
      </x:c>
      <x:c r="E13" s="32" t="n">
        <x:f>((('Assumptions'!B17*1.0)/0.065)-'Assumptions'!B6)/'Assumptions'!B7</x:f>
        <x:v>9.195804195804195</x:v>
      </x:c>
      <x:c r="F13" s="32" t="n">
        <x:f>((('Assumptions'!B17*1.0)/0.07)-'Assumptions'!B6)/'Assumptions'!B7</x:f>
        <x:v>8.246753246753247</x:v>
      </x:c>
      <x:c r="G13" s="32" t="n">
        <x:f>((('Assumptions'!B17*1.0)/0.075)-'Assumptions'!B6)/'Assumptions'!B7</x:f>
        <x:v>7.424242424242425</x:v>
      </x:c>
    </x:row>
    <x:row r="14">
      <x:c r="A14" t="str">
        <x:v>Upside (+10%)</x:v>
      </x:c>
      <x:c r="B14" s="32" t="n">
        <x:f>((('Assumptions'!B17*1.1)/0.05)-'Assumptions'!B6)/'Assumptions'!B7</x:f>
        <x:v>14.909090909090908</x:v>
      </x:c>
      <x:c r="C14" s="32" t="n">
        <x:f>((('Assumptions'!B17*1.1)/0.055)-'Assumptions'!B6)/'Assumptions'!B7</x:f>
        <x:v>13.181818181818183</x:v>
      </x:c>
      <x:c r="D14" s="32" t="n">
        <x:f>((('Assumptions'!B17*1.1)/0.06)-'Assumptions'!B6)/'Assumptions'!B7</x:f>
        <x:v>11.742424242424246</x:v>
      </x:c>
      <x:c r="E14" s="32" t="n">
        <x:f>((('Assumptions'!B17*1.1)/0.065)-'Assumptions'!B6)/'Assumptions'!B7</x:f>
        <x:v>10.524475524475525</x:v>
      </x:c>
      <x:c r="F14" s="32" t="n">
        <x:f>((('Assumptions'!B17*1.1)/0.07)-'Assumptions'!B6)/'Assumptions'!B7</x:f>
        <x:v>9.480519480519481</x:v>
      </x:c>
      <x:c r="G14" s="32" t="n">
        <x:f>((('Assumptions'!B17*1.1)/0.075)-'Assumptions'!B6)/'Assumptions'!B7</x:f>
        <x:v>8.575757575757578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Real Estate Valuation Model - README</x:v>
      </x:c>
      <x:c r="B1" s="6" t="str"/>
    </x:row>
    <x:row r="3">
      <x:c r="A3" t="str">
        <x:v>Purpose</x:v>
      </x:c>
      <x:c r="B3" t="str">
        <x:v>Portfolio-ready investment banking model for a Building, Property &amp; Real Estate coverage role.</x:v>
      </x:c>
    </x:row>
    <x:row r="4">
      <x:c r="A4" t="str">
        <x:v>Model Type</x:v>
      </x:c>
      <x:c r="B4" t="str">
        <x:v>Illustrative BPRE valuation model using operating forecast, DCF, trading comparables, NAV / cap-rate valuation and sensitivity analysis.</x:v>
      </x:c>
    </x:row>
    <x:row r="5">
      <x:c r="A5" t="str">
        <x:v>Important Note</x:v>
      </x:c>
      <x:c r="B5" t="str">
        <x:v>This model uses illustrative placeholder assumptions and is not investment advice. Replace all blue input cells with live market data, filings or company guidance before use.</x:v>
      </x:c>
    </x:row>
    <x:row r="6">
      <x:c r="A6" t="str">
        <x:v>How to Use</x:v>
      </x:c>
      <x:c r="B6" t="str">
        <x:v>Update blue/yellow input cells on the Assumptions sheet. Calculations flow through Operating Model, Valuation, Sensitivity and Summary.</x:v>
      </x:c>
    </x:row>
    <x:row r="7">
      <x:c r="A7" t="str">
        <x:v>Suggested GitHub Repo</x:v>
      </x:c>
      <x:c r="B7" t="str">
        <x:v>real-estate-valuation-model-bpre</x:v>
      </x:c>
    </x:row>
    <x:row r="8">
      <x:c r="A8" t="str">
        <x:v>CV Bullet</x:v>
      </x:c>
      <x:c r="B8" t="str">
        <x:v>Built real estate sector valuation model using DCF, trading comparables, NAV / cap-rate methodology and sensitivity analysis to assess implied equity value, leverage and equity story positioning for a UK BPRE-style target.</x:v>
      </x:c>
    </x:row>
    <x:row r="9">
      <x:c r="A9" t="str">
        <x:v>Sheets</x:v>
      </x:c>
      <x:c r="B9" t="str">
        <x:v>Summary, Assumptions, Operating Model, Valuation, Sensitivity, README</x:v>
      </x:c>
    </x:row>
    <x:row r="10">
      <x:c r="A10" t="str">
        <x:v>Source Notes</x:v>
      </x:c>
      <x:c r="B10" t="str">
        <x:v>Inputs are illustrative placeholders. Use the source/note columns to add company filings, market data and broker research sources.</x:v>
      </x:c>
    </x:row>
  </x:sheetData>
  <x:pageMargins left="0.7" right="0.7" top="0.75" bottom="0.75" header="0.3" footer="0.3"/>
</x:worksheet>
</file>